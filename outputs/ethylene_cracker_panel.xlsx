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ca37fdb1b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Data" sheetId="1" r:id="R6e17ef617b2c4457"/>
    <x:sheet xmlns:r="http://schemas.openxmlformats.org/officeDocument/2006/relationships" name="Monday Summary" sheetId="2" r:id="R0cc82a5cc47e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00E+00"/>
    <x:numFmt numFmtId="202" formatCode="0"/>
    <x:numFmt numFmtId="203" formatCode="#,##0"/>
    <x:numFmt numFmtId="204" formatCode="@"/>
    <x:numFmt numFmtId="205" formatCode="0.00E+00"/>
  </x:numFmts>
  <x:fonts count="15">
    <x:font>
      <x:sz val="11"/>
      <x:name val="Carlito"/>
    </x:font>
    <x:font>
      <x:sz val="10"/>
      <x:color rgb="FF162236"/>
      <x:name val="Aptos"/>
    </x:font>
    <x:font>
      <x:b/>
      <x:sz val="10"/>
      <x:color rgb="FFFFFFFF"/>
      <x:name val="Aptos Display"/>
    </x:font>
    <x:font>
      <x:sz val="11"/>
      <x:color rgb="FF162236"/>
      <x:name val="Aptos"/>
    </x:font>
    <x:font>
      <x:b/>
      <x:sz val="22"/>
      <x:color rgb="FFFFFFFF"/>
      <x:name val="Aptos Display"/>
    </x:font>
    <x:font>
      <x:b/>
      <x:sz val="11"/>
      <x:color rgb="FFFFFFFF"/>
      <x:name val="Aptos"/>
    </x:font>
    <x:font>
      <x:b/>
      <x:sz val="9"/>
      <x:color rgb="FF526071"/>
      <x:name val="Aptos"/>
    </x:font>
    <x:font>
      <x:b/>
      <x:sz val="22"/>
      <x:color rgb="FF162236"/>
      <x:name val="Aptos Display"/>
    </x:font>
    <x:font>
      <x:b/>
      <x:sz val="15"/>
      <x:color rgb="FF0A7780"/>
      <x:name val="Aptos Display"/>
    </x:font>
    <x:font>
      <x:b/>
      <x:sz val="10"/>
      <x:color rgb="FFFFFFFF"/>
      <x:name val="Aptos"/>
    </x:font>
    <x:font>
      <x:b/>
      <x:sz val="10"/>
      <x:color rgb="FF162236"/>
      <x:name val="Aptos"/>
    </x:font>
    <x:font>
      <x:sz val="9"/>
      <x:color rgb="FF526071"/>
      <x:name val="Aptos"/>
    </x:font>
    <x:font>
      <x:b/>
      <x:sz val="9"/>
      <x:color rgb="FF162236"/>
      <x:name val="Aptos"/>
    </x:font>
    <x:font>
      <x:b/>
      <x:sz val="12"/>
      <x:color rgb="FF162236"/>
      <x:name val="Aptos"/>
    </x:font>
    <x:font>
      <x:i/>
      <x:sz val="10"/>
      <x:color rgb="FF526071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62236"/>
      </x:patternFill>
    </x:fill>
    <x:fill>
      <x:patternFill patternType="solid">
        <x:fgColor rgb="FFF7F9FC"/>
      </x:patternFill>
    </x:fill>
    <x:fill>
      <x:patternFill patternType="solid">
        <x:fgColor rgb="FF3D8DFF"/>
      </x:patternFill>
    </x:fill>
    <x:fill>
      <x:patternFill patternType="solid">
        <x:fgColor rgb="FFE8F1FF"/>
      </x:patternFill>
    </x:fill>
    <x:fill>
      <x:patternFill patternType="solid">
        <x:fgColor rgb="FFFFFFFF"/>
      </x:patternFill>
    </x:fill>
    <x:fill>
      <x:patternFill patternType="solid">
        <x:fgColor rgb="FFEAF7F8"/>
      </x:patternFill>
    </x:fill>
    <x:fill>
      <x:patternFill patternType="solid">
        <x:fgColor rgb="FFFFCB47"/>
      </x:patternFill>
    </x:fill>
    <x:fill>
      <x:patternFill patternType="solid">
        <x:fgColor rgb="FFF1F4F8"/>
      </x:patternFill>
    </x:fill>
  </x:fills>
  <x:borders count="18">
    <x:border/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E6EBF2"/>
      </x:left>
      <x:right style="thin">
        <x:color rgb="FFE6EBF2"/>
      </x:right>
      <x:top style="thin">
        <x:color rgb="FFE6EBF2"/>
      </x:top>
      <x:bottom style="thin">
        <x:color rgb="FFE6EBF2"/>
      </x:bottom>
    </x:border>
    <x:border>
      <x:left style="thin">
        <x:color rgb="FFE6EBF2"/>
      </x:left>
      <x:right style="thin">
        <x:color rgb="FFE6EBF2"/>
      </x:right>
      <x:top style="thin">
        <x:color rgb="FFE6EBF2"/>
      </x:top>
      <x:bottom style="thin">
        <x:color rgb="FFE6EBF2"/>
      </x:bottom>
    </x:border>
  </x:borders>
  <x:cellStyleXfs count="1">
    <x:xf numFmtId="0" fontId="0" fillId="0" borderId="0"/>
  </x:cellStyleXfs>
  <x:cellXfs count="25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4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0" fontId="7" fillId="6" borderId="10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12" xfId="0" applyNumberFormat="1" applyFont="1" applyFill="1" applyBorder="1" applyAlignment="1">
      <x:alignment horizontal="center"/>
    </x:xf>
    <x:xf numFmtId="0" fontId="7" fillId="6" borderId="13" xfId="0" applyNumberFormat="1" applyFont="1" applyFill="1" applyBorder="1" applyAlignment="1">
      <x:alignment horizontal="center"/>
    </x:xf>
    <x:xf numFmtId="0" fontId="7" fillId="6" borderId="14" xfId="0" applyNumberFormat="1" applyFont="1" applyFill="1" applyBorder="1" applyAlignment="1">
      <x:alignment horizontal="center"/>
    </x:xf>
    <x:xf numFmtId="0" fontId="7" fillId="6" borderId="15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7" fillId="6" borderId="9" xfId="0" applyNumberFormat="1" applyFont="1" applyFill="1" applyBorder="1" applyAlignment="1">
      <x:alignment horizontal="center" vertical="center"/>
    </x:xf>
    <x:xf numFmtId="0" fontId="7" fillId="6" borderId="10" xfId="0" applyNumberFormat="1" applyFont="1" applyFill="1" applyBorder="1" applyAlignment="1">
      <x:alignment horizontal="center" vertical="center"/>
    </x:xf>
    <x:xf numFmtId="0" fontId="7" fillId="6" borderId="11" xfId="0" applyNumberFormat="1" applyFont="1" applyFill="1" applyBorder="1" applyAlignment="1">
      <x:alignment horizontal="center" vertical="center"/>
    </x:xf>
    <x:xf numFmtId="0" fontId="7" fillId="6" borderId="12" xfId="0" applyNumberFormat="1" applyFont="1" applyFill="1" applyBorder="1" applyAlignment="1">
      <x:alignment horizontal="center" vertical="center"/>
    </x:xf>
    <x:xf numFmtId="0" fontId="7" fillId="6" borderId="13" xfId="0" applyNumberFormat="1" applyFont="1" applyFill="1" applyBorder="1" applyAlignment="1">
      <x:alignment horizontal="center" vertical="center"/>
    </x:xf>
    <x:xf numFmtId="0" fontId="7" fillId="6" borderId="14" xfId="0" applyNumberFormat="1" applyFont="1" applyFill="1" applyBorder="1" applyAlignment="1">
      <x:alignment horizontal="center" vertical="center"/>
    </x:xf>
    <x:xf numFmtId="0" fontId="7" fillId="6" borderId="15" xfId="0" applyNumberFormat="1" applyFont="1" applyFill="1" applyBorder="1" applyAlignment="1">
      <x:alignment horizontal="center" vertical="center"/>
    </x:xf>
    <x:xf numFmtId="202" fontId="7" fillId="6" borderId="4" xfId="0" applyNumberFormat="1" applyFont="1" applyFill="1" applyBorder="1" applyAlignment="1">
      <x:alignment horizontal="center" vertical="center"/>
    </x:xf>
    <x:xf numFmtId="202" fontId="7" fillId="6" borderId="5" xfId="0" applyNumberFormat="1" applyFont="1" applyFill="1" applyBorder="1" applyAlignment="1">
      <x:alignment horizontal="center" vertical="center"/>
    </x:xf>
    <x:xf numFmtId="202" fontId="7" fillId="6" borderId="6" xfId="0" applyNumberFormat="1" applyFont="1" applyFill="1" applyBorder="1" applyAlignment="1">
      <x:alignment horizontal="center" vertical="center"/>
    </x:xf>
    <x:xf numFmtId="202" fontId="7" fillId="6" borderId="7" xfId="0" applyNumberFormat="1" applyFont="1" applyFill="1" applyBorder="1" applyAlignment="1">
      <x:alignment horizontal="center" vertical="center"/>
    </x:xf>
    <x:xf numFmtId="202" fontId="7" fillId="6" borderId="8" xfId="0" applyNumberFormat="1" applyFont="1" applyFill="1" applyBorder="1" applyAlignment="1">
      <x:alignment horizontal="center" vertical="center"/>
    </x:xf>
    <x:xf numFmtId="202" fontId="7" fillId="6" borderId="9" xfId="0" applyNumberFormat="1" applyFont="1" applyFill="1" applyBorder="1" applyAlignment="1">
      <x:alignment horizontal="center" vertical="center"/>
    </x:xf>
    <x:xf numFmtId="202" fontId="7" fillId="6" borderId="10" xfId="0" applyNumberFormat="1" applyFont="1" applyFill="1" applyBorder="1" applyAlignment="1">
      <x:alignment horizontal="center" vertical="center"/>
    </x:xf>
    <x:xf numFmtId="202" fontId="7" fillId="6" borderId="11" xfId="0" applyNumberFormat="1" applyFont="1" applyFill="1" applyBorder="1" applyAlignment="1">
      <x:alignment horizontal="center" vertical="center"/>
    </x:xf>
    <x:xf numFmtId="202" fontId="7" fillId="6" borderId="12" xfId="0" applyNumberFormat="1" applyFont="1" applyFill="1" applyBorder="1" applyAlignment="1">
      <x:alignment horizontal="center" vertical="center"/>
    </x:xf>
    <x:xf numFmtId="202" fontId="7" fillId="6" borderId="13" xfId="0" applyNumberFormat="1" applyFont="1" applyFill="1" applyBorder="1" applyAlignment="1">
      <x:alignment horizontal="center" vertical="center"/>
    </x:xf>
    <x:xf numFmtId="202" fontId="7" fillId="6" borderId="14" xfId="0" applyNumberFormat="1" applyFont="1" applyFill="1" applyBorder="1" applyAlignment="1">
      <x:alignment horizontal="center" vertical="center"/>
    </x:xf>
    <x:xf numFmtId="202" fontId="7" fillId="6" borderId="15" xfId="0" applyNumberFormat="1" applyFont="1" applyFill="1" applyBorder="1" applyAlignment="1">
      <x:alignment horizontal="center" vertical="center"/>
    </x:xf>
    <x:xf numFmtId="203" fontId="7" fillId="6" borderId="4" xfId="0" applyNumberFormat="1" applyFont="1" applyFill="1" applyBorder="1" applyAlignment="1">
      <x:alignment horizontal="center" vertical="center"/>
    </x:xf>
    <x:xf numFmtId="203" fontId="7" fillId="6" borderId="5" xfId="0" applyNumberFormat="1" applyFont="1" applyFill="1" applyBorder="1" applyAlignment="1">
      <x:alignment horizontal="center" vertical="center"/>
    </x:xf>
    <x:xf numFmtId="203" fontId="7" fillId="6" borderId="6" xfId="0" applyNumberFormat="1" applyFont="1" applyFill="1" applyBorder="1" applyAlignment="1">
      <x:alignment horizontal="center" vertical="center"/>
    </x:xf>
    <x:xf numFmtId="203" fontId="7" fillId="6" borderId="7" xfId="0" applyNumberFormat="1" applyFont="1" applyFill="1" applyBorder="1" applyAlignment="1">
      <x:alignment horizontal="center" vertical="center"/>
    </x:xf>
    <x:xf numFmtId="203" fontId="7" fillId="6" borderId="8" xfId="0" applyNumberFormat="1" applyFont="1" applyFill="1" applyBorder="1" applyAlignment="1">
      <x:alignment horizontal="center" vertical="center"/>
    </x:xf>
    <x:xf numFmtId="203" fontId="7" fillId="6" borderId="9" xfId="0" applyNumberFormat="1" applyFont="1" applyFill="1" applyBorder="1" applyAlignment="1">
      <x:alignment horizontal="center" vertical="center"/>
    </x:xf>
    <x:xf numFmtId="203" fontId="7" fillId="6" borderId="10" xfId="0" applyNumberFormat="1" applyFont="1" applyFill="1" applyBorder="1" applyAlignment="1">
      <x:alignment horizontal="center" vertical="center"/>
    </x:xf>
    <x:xf numFmtId="203" fontId="7" fillId="6" borderId="11" xfId="0" applyNumberFormat="1" applyFont="1" applyFill="1" applyBorder="1" applyAlignment="1">
      <x:alignment horizontal="center" vertical="center"/>
    </x:xf>
    <x:xf numFmtId="203" fontId="7" fillId="6" borderId="12" xfId="0" applyNumberFormat="1" applyFont="1" applyFill="1" applyBorder="1" applyAlignment="1">
      <x:alignment horizontal="center" vertical="center"/>
    </x:xf>
    <x:xf numFmtId="203" fontId="7" fillId="6" borderId="13" xfId="0" applyNumberFormat="1" applyFont="1" applyFill="1" applyBorder="1" applyAlignment="1">
      <x:alignment horizontal="center" vertical="center"/>
    </x:xf>
    <x:xf numFmtId="203" fontId="7" fillId="6" borderId="14" xfId="0" applyNumberFormat="1" applyFont="1" applyFill="1" applyBorder="1" applyAlignment="1">
      <x:alignment horizontal="center" vertical="center"/>
    </x:xf>
    <x:xf numFmtId="203" fontId="7" fillId="6" borderId="15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4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/>
    </x:xf>
    <x:xf numFmtId="0" fontId="8" fillId="6" borderId="9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 applyAlignment="1">
      <x:alignment horizontal="center"/>
    </x:xf>
    <x:xf numFmtId="0" fontId="8" fillId="6" borderId="11" xfId="0" applyNumberFormat="1" applyFont="1" applyFill="1" applyBorder="1" applyAlignment="1">
      <x:alignment horizontal="center"/>
    </x:xf>
    <x:xf numFmtId="0" fontId="8" fillId="6" borderId="12" xfId="0" applyNumberFormat="1" applyFont="1" applyFill="1" applyBorder="1" applyAlignment="1">
      <x:alignment horizontal="center"/>
    </x:xf>
    <x:xf numFmtId="0" fontId="8" fillId="6" borderId="13" xfId="0" applyNumberFormat="1" applyFont="1" applyFill="1" applyBorder="1" applyAlignment="1">
      <x:alignment horizontal="center"/>
    </x:xf>
    <x:xf numFmtId="0" fontId="8" fillId="6" borderId="14" xfId="0" applyNumberFormat="1" applyFont="1" applyFill="1" applyBorder="1" applyAlignment="1">
      <x:alignment horizontal="center"/>
    </x:xf>
    <x:xf numFmtId="0" fontId="8" fillId="6" borderId="15" xfId="0" applyNumberFormat="1" applyFont="1" applyFill="1" applyBorder="1" applyAlignment="1">
      <x:alignment horizont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8" fillId="6" borderId="9" xfId="0" applyNumberFormat="1" applyFont="1" applyFill="1" applyBorder="1" applyAlignment="1">
      <x:alignment horizontal="center" vertical="center"/>
    </x:xf>
    <x:xf numFmtId="0" fontId="8" fillId="6" borderId="10" xfId="0" applyNumberFormat="1" applyFont="1" applyFill="1" applyBorder="1" applyAlignment="1">
      <x:alignment horizontal="center" vertical="center"/>
    </x:xf>
    <x:xf numFmtId="0" fontId="8" fillId="6" borderId="11" xfId="0" applyNumberFormat="1" applyFont="1" applyFill="1" applyBorder="1" applyAlignment="1">
      <x:alignment horizontal="center" vertical="center"/>
    </x:xf>
    <x:xf numFmtId="0" fontId="8" fillId="6" borderId="12" xfId="0" applyNumberFormat="1" applyFont="1" applyFill="1" applyBorder="1" applyAlignment="1">
      <x:alignment horizontal="center" vertical="center"/>
    </x:xf>
    <x:xf numFmtId="0" fontId="8" fillId="6" borderId="13" xfId="0" applyNumberFormat="1" applyFont="1" applyFill="1" applyBorder="1" applyAlignment="1">
      <x:alignment horizontal="center" vertical="center"/>
    </x:xf>
    <x:xf numFmtId="0" fontId="8" fillId="6" borderId="14" xfId="0" applyNumberFormat="1" applyFont="1" applyFill="1" applyBorder="1" applyAlignment="1">
      <x:alignment horizontal="center" vertical="center"/>
    </x:xf>
    <x:xf numFmtId="0" fontId="8" fillId="6" borderId="15" xfId="0" applyNumberFormat="1" applyFont="1" applyFill="1" applyBorder="1" applyAlignment="1">
      <x:alignment horizontal="center" vertical="center"/>
    </x:xf>
    <x:xf numFmtId="204" fontId="8" fillId="6" borderId="4" xfId="0" applyNumberFormat="1" applyFont="1" applyFill="1" applyBorder="1" applyAlignment="1">
      <x:alignment horizontal="center" vertical="center"/>
    </x:xf>
    <x:xf numFmtId="204" fontId="8" fillId="6" borderId="5" xfId="0" applyNumberFormat="1" applyFont="1" applyFill="1" applyBorder="1" applyAlignment="1">
      <x:alignment horizontal="center" vertical="center"/>
    </x:xf>
    <x:xf numFmtId="204" fontId="8" fillId="6" borderId="6" xfId="0" applyNumberFormat="1" applyFont="1" applyFill="1" applyBorder="1" applyAlignment="1">
      <x:alignment horizontal="center" vertical="center"/>
    </x:xf>
    <x:xf numFmtId="204" fontId="8" fillId="6" borderId="7" xfId="0" applyNumberFormat="1" applyFont="1" applyFill="1" applyBorder="1" applyAlignment="1">
      <x:alignment horizontal="center" vertical="center"/>
    </x:xf>
    <x:xf numFmtId="204" fontId="8" fillId="6" borderId="8" xfId="0" applyNumberFormat="1" applyFont="1" applyFill="1" applyBorder="1" applyAlignment="1">
      <x:alignment horizontal="center" vertical="center"/>
    </x:xf>
    <x:xf numFmtId="204" fontId="8" fillId="6" borderId="9" xfId="0" applyNumberFormat="1" applyFont="1" applyFill="1" applyBorder="1" applyAlignment="1">
      <x:alignment horizontal="center" vertical="center"/>
    </x:xf>
    <x:xf numFmtId="204" fontId="8" fillId="6" borderId="10" xfId="0" applyNumberFormat="1" applyFont="1" applyFill="1" applyBorder="1" applyAlignment="1">
      <x:alignment horizontal="center" vertical="center"/>
    </x:xf>
    <x:xf numFmtId="204" fontId="8" fillId="6" borderId="11" xfId="0" applyNumberFormat="1" applyFont="1" applyFill="1" applyBorder="1" applyAlignment="1">
      <x:alignment horizontal="center" vertical="center"/>
    </x:xf>
    <x:xf numFmtId="204" fontId="8" fillId="6" borderId="12" xfId="0" applyNumberFormat="1" applyFont="1" applyFill="1" applyBorder="1" applyAlignment="1">
      <x:alignment horizontal="center" vertical="center"/>
    </x:xf>
    <x:xf numFmtId="204" fontId="8" fillId="6" borderId="13" xfId="0" applyNumberFormat="1" applyFont="1" applyFill="1" applyBorder="1" applyAlignment="1">
      <x:alignment horizontal="center" vertical="center"/>
    </x:xf>
    <x:xf numFmtId="204" fontId="8" fillId="6" borderId="14" xfId="0" applyNumberFormat="1" applyFont="1" applyFill="1" applyBorder="1" applyAlignment="1">
      <x:alignment horizontal="center" vertical="center"/>
    </x:xf>
    <x:xf numFmtId="204" fontId="8" fillId="6" borderId="15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vertical="center" wrapText="1"/>
    </x:xf>
    <x:xf numFmtId="0" fontId="9" fillId="2" borderId="3" xfId="0" applyNumberFormat="1" applyFont="1" applyFill="1" applyBorder="1" applyAlignment="1">
      <x:alignment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10" fillId="6" borderId="2" xfId="0" applyNumberFormat="1" applyFont="1" applyFill="1" applyBorder="1" applyAlignment="1">
      <x:alignment vertical="center"/>
    </x:xf>
    <x:xf numFmtId="0" fontId="10" fillId="6" borderId="3" xfId="0" applyNumberFormat="1" applyFont="1" applyFill="1" applyBorder="1" applyAlignment="1">
      <x:alignment vertical="center"/>
    </x:xf>
    <x:xf numFmtId="202" fontId="1" fillId="6" borderId="2" xfId="0" applyNumberFormat="1" applyFont="1" applyFill="1" applyBorder="1" applyAlignment="1">
      <x:alignment vertical="center"/>
    </x:xf>
    <x:xf numFmtId="202" fontId="1" fillId="6" borderId="3" xfId="0" applyNumberFormat="1" applyFont="1" applyFill="1" applyBorder="1" applyAlignment="1">
      <x:alignment vertical="center"/>
    </x:xf>
    <x:xf numFmtId="205" fontId="1" fillId="6" borderId="2" xfId="0" applyNumberFormat="1" applyFont="1" applyFill="1" applyBorder="1" applyAlignment="1">
      <x:alignment vertical="center"/>
    </x:xf>
    <x:xf numFmtId="205" fontId="1" fillId="6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11" fillId="6" borderId="16" xfId="0" applyNumberFormat="1" applyFont="1" applyFill="1" applyBorder="1"/>
    <x:xf numFmtId="0" fontId="11" fillId="6" borderId="17" xfId="0" applyNumberFormat="1" applyFont="1" applyFill="1" applyBorder="1"/>
    <x:xf numFmtId="0" fontId="12" fillId="6" borderId="16" xfId="0" applyNumberFormat="1" applyFont="1" applyFill="1" applyBorder="1"/>
    <x:xf numFmtId="0" fontId="12" fillId="6" borderId="17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13" fillId="8" borderId="0" xfId="0" applyNumberFormat="1" applyFont="1" applyFill="1" applyBorder="1"/>
    <x:xf numFmtId="0" fontId="13" fillId="8" borderId="1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3" fillId="8" borderId="1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13" fillId="8" borderId="1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/>
    <x:xf numFmtId="0" fontId="14" fillId="6" borderId="1" xfId="0" applyNumberFormat="1" applyFont="1" applyFill="1" applyBorder="1"/>
    <x:xf numFmtId="0" fontId="14" fillId="6" borderId="4" xfId="0" applyNumberFormat="1" applyFont="1" applyFill="1" applyBorder="1"/>
    <x:xf numFmtId="0" fontId="14" fillId="6" borderId="5" xfId="0" applyNumberFormat="1" applyFont="1" applyFill="1" applyBorder="1"/>
    <x:xf numFmtId="0" fontId="14" fillId="6" borderId="6" xfId="0" applyNumberFormat="1" applyFont="1" applyFill="1" applyBorder="1"/>
    <x:xf numFmtId="0" fontId="14" fillId="6" borderId="7" xfId="0" applyNumberFormat="1" applyFont="1" applyFill="1" applyBorder="1"/>
    <x:xf numFmtId="0" fontId="14" fillId="6" borderId="8" xfId="0" applyNumberFormat="1" applyFont="1" applyFill="1" applyBorder="1"/>
    <x:xf numFmtId="0" fontId="14" fillId="6" borderId="9" xfId="0" applyNumberFormat="1" applyFont="1" applyFill="1" applyBorder="1"/>
    <x:xf numFmtId="0" fontId="14" fillId="6" borderId="10" xfId="0" applyNumberFormat="1" applyFont="1" applyFill="1" applyBorder="1"/>
    <x:xf numFmtId="0" fontId="14" fillId="6" borderId="11" xfId="0" applyNumberFormat="1" applyFont="1" applyFill="1" applyBorder="1"/>
    <x:xf numFmtId="0" fontId="14" fillId="6" borderId="12" xfId="0" applyNumberFormat="1" applyFont="1" applyFill="1" applyBorder="1"/>
    <x:xf numFmtId="0" fontId="14" fillId="6" borderId="13" xfId="0" applyNumberFormat="1" applyFont="1" applyFill="1" applyBorder="1"/>
    <x:xf numFmtId="0" fontId="14" fillId="6" borderId="14" xfId="0" applyNumberFormat="1" applyFont="1" applyFill="1" applyBorder="1"/>
    <x:xf numFmtId="0" fontId="14" fillId="6" borderId="15" xfId="0" applyNumberFormat="1" applyFont="1" applyFill="1" applyBorder="1"/>
    <x:xf numFmtId="0" fontId="14" fillId="6" borderId="4" xfId="0" applyNumberFormat="1" applyFont="1" applyFill="1" applyBorder="1" applyAlignment="1">
      <x:alignment wrapText="1"/>
    </x:xf>
    <x:xf numFmtId="0" fontId="14" fillId="6" borderId="5" xfId="0" applyNumberFormat="1" applyFont="1" applyFill="1" applyBorder="1" applyAlignment="1">
      <x:alignment wrapText="1"/>
    </x:xf>
    <x:xf numFmtId="0" fontId="14" fillId="6" borderId="6" xfId="0" applyNumberFormat="1" applyFont="1" applyFill="1" applyBorder="1" applyAlignment="1">
      <x:alignment wrapText="1"/>
    </x:xf>
    <x:xf numFmtId="0" fontId="14" fillId="6" borderId="7" xfId="0" applyNumberFormat="1" applyFont="1" applyFill="1" applyBorder="1" applyAlignment="1">
      <x:alignment wrapText="1"/>
    </x:xf>
    <x:xf numFmtId="0" fontId="14" fillId="6" borderId="8" xfId="0" applyNumberFormat="1" applyFont="1" applyFill="1" applyBorder="1" applyAlignment="1">
      <x:alignment wrapText="1"/>
    </x:xf>
    <x:xf numFmtId="0" fontId="14" fillId="6" borderId="9" xfId="0" applyNumberFormat="1" applyFont="1" applyFill="1" applyBorder="1" applyAlignment="1">
      <x:alignment wrapText="1"/>
    </x:xf>
    <x:xf numFmtId="0" fontId="14" fillId="6" borderId="10" xfId="0" applyNumberFormat="1" applyFont="1" applyFill="1" applyBorder="1" applyAlignment="1">
      <x:alignment wrapText="1"/>
    </x:xf>
    <x:xf numFmtId="0" fontId="14" fillId="6" borderId="11" xfId="0" applyNumberFormat="1" applyFont="1" applyFill="1" applyBorder="1" applyAlignment="1">
      <x:alignment wrapText="1"/>
    </x:xf>
    <x:xf numFmtId="0" fontId="14" fillId="6" borderId="12" xfId="0" applyNumberFormat="1" applyFont="1" applyFill="1" applyBorder="1" applyAlignment="1">
      <x:alignment wrapText="1"/>
    </x:xf>
    <x:xf numFmtId="0" fontId="14" fillId="6" borderId="13" xfId="0" applyNumberFormat="1" applyFont="1" applyFill="1" applyBorder="1" applyAlignment="1">
      <x:alignment wrapText="1"/>
    </x:xf>
    <x:xf numFmtId="0" fontId="14" fillId="6" borderId="14" xfId="0" applyNumberFormat="1" applyFont="1" applyFill="1" applyBorder="1" applyAlignment="1">
      <x:alignment wrapText="1"/>
    </x:xf>
    <x:xf numFmtId="0" fontId="14" fillId="6" borderId="15" xfId="0" applyNumberFormat="1" applyFont="1" applyFill="1" applyBorder="1" applyAlignment="1">
      <x:alignment wrapText="1"/>
    </x:xf>
    <x:xf numFmtId="0" fontId="14" fillId="6" borderId="4" xfId="0" applyNumberFormat="1" applyFont="1" applyFill="1" applyBorder="1" applyAlignment="1">
      <x:alignment vertical="center" wrapText="1"/>
    </x:xf>
    <x:xf numFmtId="0" fontId="14" fillId="6" borderId="5" xfId="0" applyNumberFormat="1" applyFont="1" applyFill="1" applyBorder="1" applyAlignment="1">
      <x:alignment vertical="center" wrapText="1"/>
    </x:xf>
    <x:xf numFmtId="0" fontId="14" fillId="6" borderId="6" xfId="0" applyNumberFormat="1" applyFont="1" applyFill="1" applyBorder="1" applyAlignment="1">
      <x:alignment vertical="center" wrapText="1"/>
    </x:xf>
    <x:xf numFmtId="0" fontId="14" fillId="6" borderId="7" xfId="0" applyNumberFormat="1" applyFont="1" applyFill="1" applyBorder="1" applyAlignment="1">
      <x:alignment vertical="center" wrapText="1"/>
    </x:xf>
    <x:xf numFmtId="0" fontId="14" fillId="6" borderId="8" xfId="0" applyNumberFormat="1" applyFont="1" applyFill="1" applyBorder="1" applyAlignment="1">
      <x:alignment vertical="center" wrapText="1"/>
    </x:xf>
    <x:xf numFmtId="0" fontId="14" fillId="6" borderId="9" xfId="0" applyNumberFormat="1" applyFont="1" applyFill="1" applyBorder="1" applyAlignment="1">
      <x:alignment vertical="center" wrapText="1"/>
    </x:xf>
    <x:xf numFmtId="0" fontId="14" fillId="6" borderId="10" xfId="0" applyNumberFormat="1" applyFont="1" applyFill="1" applyBorder="1" applyAlignment="1">
      <x:alignment vertical="center" wrapText="1"/>
    </x:xf>
    <x:xf numFmtId="0" fontId="14" fillId="6" borderId="11" xfId="0" applyNumberFormat="1" applyFont="1" applyFill="1" applyBorder="1" applyAlignment="1">
      <x:alignment vertical="center" wrapText="1"/>
    </x:xf>
    <x:xf numFmtId="0" fontId="14" fillId="6" borderId="12" xfId="0" applyNumberFormat="1" applyFont="1" applyFill="1" applyBorder="1" applyAlignment="1">
      <x:alignment vertical="center" wrapText="1"/>
    </x:xf>
    <x:xf numFmtId="0" fontId="14" fillId="6" borderId="13" xfId="0" applyNumberFormat="1" applyFont="1" applyFill="1" applyBorder="1" applyAlignment="1">
      <x:alignment vertical="center" wrapText="1"/>
    </x:xf>
    <x:xf numFmtId="0" fontId="14" fillId="6" borderId="14" xfId="0" applyNumberFormat="1" applyFont="1" applyFill="1" applyBorder="1" applyAlignment="1">
      <x:alignment vertical="center" wrapText="1"/>
    </x:xf>
    <x:xf numFmtId="0" fontId="14" fillId="6" borderId="15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11" fillId="9" borderId="0" xfId="0" applyNumberFormat="1" applyFont="1" applyFill="1" applyBorder="1"/>
    <x:xf numFmtId="0" fontId="11" fillId="9" borderId="1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62fc81c9245b1" /><Relationship Type="http://schemas.openxmlformats.org/officeDocument/2006/relationships/theme" Target="/xl/theme/theme1.xml" Id="R60d75b75dcbc46dd" /><Relationship Type="http://schemas.openxmlformats.org/officeDocument/2006/relationships/sharedStrings" Target="/xl/sharedStrings.xml" Id="Ra47682a584e34624" /><Relationship Type="http://schemas.openxmlformats.org/officeDocument/2006/relationships/worksheet" Target="/xl/worksheets/sheet1.xml" Id="R6e17ef617b2c4457" /><Relationship Type="http://schemas.openxmlformats.org/officeDocument/2006/relationships/worksheet" Target="/xl/worksheets/sheet2.xml" Id="R0cc82a5cc47e40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bbe404b6a049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Directly computed coverage (MOFs)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plotArea>
      <c:barChart>
        <c:barDir val="col"/>
        <c:varyColors val="0"/>
        <c:ser>
          <c:idx val="0"/>
          <c:order val="0"/>
          <c:tx>
            <c:v>Computed MOFs</c:v>
          </c:tx>
          <c:cat>
            <c:strRef>
              <c:f>'Monday Summary'!$P$10:$P$17</c:f>
              <c:strCache>
                <c:ptCount val="0"/>
              </c:strCache>
            </c:strRef>
          </c:cat>
          <c:val>
            <c:numRef>
              <c:f>'Monday Summary'!$Q$10:$Q$17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D9E2EC"/>
              </a:solidFill>
              <a:prstDash val="solid"/>
            </a:ln>
          </c:spPr>
        </c:majorGridlines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526071"/>
                </a:solidFill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162236"/>
                </a:solidFill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bbe404b6a049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verageDataTable" displayName="CoverageDataTable" ref="A1:V9" headerRowCount="1" totalsRowCount="0" totalsRowShown="0">
  <x:tableColumns count="22">
    <x:tableColumn id="1" name="panel_order"/>
    <x:tableColumn id="2" name="coverage_rank"/>
    <x:tableColumn id="3" name="molecule_id"/>
    <x:tableColumn id="4" name="molecule_name"/>
    <x:tableColumn id="5" name="process_role"/>
    <x:tableColumn id="6" name="panel_group"/>
    <x:tableColumn id="7" name="selection_basis"/>
    <x:tableColumn id="8" name="computed_pair_count"/>
    <x:tableColumn id="9" name="computed_mof_count"/>
    <x:tableColumn id="10" name="common_mof_count"/>
    <x:tableColumn id="11" name="coverage_percent"/>
    <x:tableColumn id="12" name="henry_q1"/>
    <x:tableColumn id="13" name="henry_median"/>
    <x:tableColumn id="14" name="henry_q3"/>
    <x:tableColumn id="15" name="henry_iqr"/>
    <x:tableColumn id="16" name="zero_K_count"/>
    <x:tableColumn id="17" name="henry_unit"/>
    <x:tableColumn id="18" name="temperature_K"/>
    <x:tableColumn id="19" name="K_scale"/>
    <x:tableColumn id="20" name="quantile_method"/>
    <x:tableColumn id="21" name="dataset_source_url"/>
    <x:tableColumn id="22" name="process_eviden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dayPanelTable" displayName="MondayPanelTable" ref="A9:F17" headerRowCount="1" totalsRowCount="0" totalsRowShown="0">
  <x:tableColumns count="6">
    <x:tableColumn id="1" name="Gas"/>
    <x:tableColumn id="2" name="Process role"/>
    <x:tableColumn id="3" name="Group"/>
    <x:tableColumn id="4" name="Computed MOFs"/>
    <x:tableColumn id="5" name="Median K"/>
    <x:tableColumn id="6" name="IQ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2f3488629546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413487bcd0d46d0" /><Relationship Type="http://schemas.openxmlformats.org/officeDocument/2006/relationships/table" Target="/xl/tables/table2.xml" Id="Rfaab76eb7f7544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8.670000076293945" hidden="0" customWidth="1"/>
    <x:col min="3" max="3" width="13.329999923706055" hidden="0" customWidth="1"/>
    <x:col min="4" max="4" width="13.329999923706055" hidden="0" customWidth="1"/>
    <x:col min="5" max="5" width="24.440000534057617" hidden="0" customWidth="1"/>
    <x:col min="6" max="6" width="9.779999732971191" hidden="0" customWidth="1"/>
    <x:col min="7" max="7" width="25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  <x:col min="12" max="12" width="12.220000267028809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6.110000610351562" hidden="0" customWidth="1"/>
    <x:col min="18" max="18" width="16.110000610351562" hidden="0" customWidth="1"/>
    <x:col min="19" max="19" width="16.110000610351562" hidden="0" customWidth="1"/>
    <x:col min="20" max="20" width="16.110000610351562" hidden="0" customWidth="1"/>
    <x:col min="21" max="21" width="27.780000686645508" hidden="0" customWidth="1"/>
    <x:col min="22" max="22" width="27.780000686645508" hidden="0" customWidth="1"/>
  </x:cols>
  <x:sheetData>
    <x:row r="1" ht="31.5" customHeight="1">
      <x:c r="A1" s="12" t="str">
        <x:v>panel_order</x:v>
      </x:c>
      <x:c r="B1" s="12" t="str">
        <x:v>coverage_rank</x:v>
      </x:c>
      <x:c r="C1" s="12" t="str">
        <x:v>molecule_id</x:v>
      </x:c>
      <x:c r="D1" s="12" t="str">
        <x:v>molecule_name</x:v>
      </x:c>
      <x:c r="E1" s="12" t="str">
        <x:v>process_role</x:v>
      </x:c>
      <x:c r="F1" s="12" t="str">
        <x:v>panel_group</x:v>
      </x:c>
      <x:c r="G1" s="12" t="str">
        <x:v>selection_basis</x:v>
      </x:c>
      <x:c r="H1" s="12" t="str">
        <x:v>computed_pair_count</x:v>
      </x:c>
      <x:c r="I1" s="12" t="str">
        <x:v>computed_mof_count</x:v>
      </x:c>
      <x:c r="J1" s="12" t="str">
        <x:v>common_mof_count</x:v>
      </x:c>
      <x:c r="K1" s="12" t="str">
        <x:v>coverage_percent</x:v>
      </x:c>
      <x:c r="L1" s="12" t="str">
        <x:v>henry_q1</x:v>
      </x:c>
      <x:c r="M1" s="12" t="str">
        <x:v>henry_median</x:v>
      </x:c>
      <x:c r="N1" s="12" t="str">
        <x:v>henry_q3</x:v>
      </x:c>
      <x:c r="O1" s="12" t="str">
        <x:v>henry_iqr</x:v>
      </x:c>
      <x:c r="P1" s="12" t="str">
        <x:v>zero_K_count</x:v>
      </x:c>
      <x:c r="Q1" s="12" t="str">
        <x:v>henry_unit</x:v>
      </x:c>
      <x:c r="R1" s="12" t="str">
        <x:v>temperature_K</x:v>
      </x:c>
      <x:c r="S1" s="12" t="str">
        <x:v>K_scale</x:v>
      </x:c>
      <x:c r="T1" s="12" t="str">
        <x:v>quantile_method</x:v>
      </x:c>
      <x:c r="U1" s="12" t="str">
        <x:v>dataset_source_url</x:v>
      </x:c>
      <x:c r="V1" s="12" t="str">
        <x:v>process_evidence_url</x:v>
      </x:c>
    </x:row>
    <x:row r="2" ht="21.75" customHeight="1">
      <x:c r="A2" s="13" t="str">
        <x:v>1</x:v>
      </x:c>
      <x:c r="B2" s="13" t="str">
        <x:v>1</x:v>
      </x:c>
      <x:c r="C2" s="13" t="str">
        <x:v>methane</x:v>
      </x:c>
      <x:c r="D2" s="13" t="str">
        <x:v>Methane</x:v>
      </x:c>
      <x:c r="E2" s="13" t="str">
        <x:v>Cracking by-product / fuel gas</x:v>
      </x:c>
      <x:c r="F2" s="13" t="str">
        <x:v>core</x:v>
      </x:c>
      <x:c r="G2" s="13" t="str">
        <x:v>Core outlet light gas</x:v>
      </x:c>
      <x:c r="H2" s="16" t="str">
        <x:v>471</x:v>
      </x:c>
      <x:c r="I2" s="16" t="str">
        <x:v>471</x:v>
      </x:c>
      <x:c r="J2" s="16" t="str">
        <x:v>471</x:v>
      </x:c>
      <x:c r="K2" s="16" t="str">
        <x:v>24.278350515463917</x:v>
      </x:c>
      <x:c r="L2" s="18" t="str">
        <x:v>4.7300000000000005e-06</x:v>
      </x:c>
      <x:c r="M2" s="18" t="str">
        <x:v>1.08e-05</x:v>
      </x:c>
      <x:c r="N2" s="18" t="str">
        <x:v>1.97e-05</x:v>
      </x:c>
      <x:c r="O2" s="18" t="str">
        <x:v>1.497e-05</x:v>
      </x:c>
      <x:c r="P2" s="20" t="str">
        <x:v>0</x:v>
      </x:c>
      <x:c r="Q2" s="13" t="str">
        <x:v>mol kg^-1 Pa^-1</x:v>
      </x:c>
      <x:c r="R2" s="20" t="str">
        <x:v>300</x:v>
      </x:c>
      <x:c r="S2" s="13" t="str">
        <x:v>linear</x:v>
      </x:c>
      <x:c r="T2" s="13" t="str">
        <x:v>pandas linear interpolation; exact zeros retained</x:v>
      </x:c>
      <x:c r="U2" s="13" t="str">
        <x:v>https://zenodo.org/records/16754752</x:v>
      </x:c>
      <x:c r="V2" s="13" t="str">
        <x:v>https://www.epa.gov/sites/default/files/2015-03/documents/subpartx-tsd-petrochem.pdf</x:v>
      </x:c>
    </x:row>
    <x:row r="3" ht="21.75" customHeight="1">
      <x:c r="A3" s="13" t="str">
        <x:v>2</x:v>
      </x:c>
      <x:c r="B3" s="13" t="str">
        <x:v>1</x:v>
      </x:c>
      <x:c r="C3" s="13" t="str">
        <x:v>ethane</x:v>
      </x:c>
      <x:c r="D3" s="13" t="str">
        <x:v>Ethane</x:v>
      </x:c>
      <x:c r="E3" s="13" t="str">
        <x:v>Primary feed / unconverted feed</x:v>
      </x:c>
      <x:c r="F3" s="13" t="str">
        <x:v>core</x:v>
      </x:c>
      <x:c r="G3" s="13" t="str">
        <x:v>Primary ethylene-cracker feed marker</x:v>
      </x:c>
      <x:c r="H3" s="16" t="str">
        <x:v>471</x:v>
      </x:c>
      <x:c r="I3" s="16" t="str">
        <x:v>471</x:v>
      </x:c>
      <x:c r="J3" s="16" t="str">
        <x:v>471</x:v>
      </x:c>
      <x:c r="K3" s="16" t="str">
        <x:v>24.278350515463917</x:v>
      </x:c>
      <x:c r="L3" s="18" t="str">
        <x:v>3.1e-05</x:v>
      </x:c>
      <x:c r="M3" s="18" t="str">
        <x:v>0.000163051</x:v>
      </x:c>
      <x:c r="N3" s="18" t="str">
        <x:v>0.000503572</x:v>
      </x:c>
      <x:c r="O3" s="18" t="str">
        <x:v>0.000472572</x:v>
      </x:c>
      <x:c r="P3" s="20" t="str">
        <x:v>0</x:v>
      </x:c>
      <x:c r="Q3" s="13" t="str">
        <x:v>mol kg^-1 Pa^-1</x:v>
      </x:c>
      <x:c r="R3" s="20" t="str">
        <x:v>300</x:v>
      </x:c>
      <x:c r="S3" s="13" t="str">
        <x:v>linear</x:v>
      </x:c>
      <x:c r="T3" s="13" t="str">
        <x:v>pandas linear interpolation; exact zeros retained</x:v>
      </x:c>
      <x:c r="U3" s="13" t="str">
        <x:v>https://zenodo.org/records/16754752</x:v>
      </x:c>
      <x:c r="V3" s="13" t="str">
        <x:v>https://www.epa.gov/sites/default/files/2015-03/documents/subpartx-tsd-petrochem.pdf</x:v>
      </x:c>
    </x:row>
    <x:row r="4" ht="21.75" customHeight="1">
      <x:c r="A4" s="13" t="str">
        <x:v>3</x:v>
      </x:c>
      <x:c r="B4" s="13" t="str">
        <x:v>1</x:v>
      </x:c>
      <x:c r="C4" s="13" t="str">
        <x:v>ethene</x:v>
      </x:c>
      <x:c r="D4" s="13" t="str">
        <x:v>Ethylene</x:v>
      </x:c>
      <x:c r="E4" s="13" t="str">
        <x:v>Primary product</x:v>
      </x:c>
      <x:c r="F4" s="13" t="str">
        <x:v>core</x:v>
      </x:c>
      <x:c r="G4" s="13" t="str">
        <x:v>Primary ethylene-cracker product marker</x:v>
      </x:c>
      <x:c r="H4" s="16" t="str">
        <x:v>471</x:v>
      </x:c>
      <x:c r="I4" s="16" t="str">
        <x:v>471</x:v>
      </x:c>
      <x:c r="J4" s="16" t="str">
        <x:v>471</x:v>
      </x:c>
      <x:c r="K4" s="16" t="str">
        <x:v>24.278350515463917</x:v>
      </x:c>
      <x:c r="L4" s="18" t="str">
        <x:v>1.985e-05</x:v>
      </x:c>
      <x:c r="M4" s="18" t="str">
        <x:v>7.98e-05</x:v>
      </x:c>
      <x:c r="N4" s="18" t="str">
        <x:v>0.000216859</x:v>
      </x:c>
      <x:c r="O4" s="18" t="str">
        <x:v>0.000197009</x:v>
      </x:c>
      <x:c r="P4" s="20" t="str">
        <x:v>0</x:v>
      </x:c>
      <x:c r="Q4" s="13" t="str">
        <x:v>mol kg^-1 Pa^-1</x:v>
      </x:c>
      <x:c r="R4" s="20" t="str">
        <x:v>300</x:v>
      </x:c>
      <x:c r="S4" s="13" t="str">
        <x:v>linear</x:v>
      </x:c>
      <x:c r="T4" s="13" t="str">
        <x:v>pandas linear interpolation; exact zeros retained</x:v>
      </x:c>
      <x:c r="U4" s="13" t="str">
        <x:v>https://zenodo.org/records/16754752</x:v>
      </x:c>
      <x:c r="V4" s="13" t="str">
        <x:v>https://www.epa.gov/sites/default/files/2015-03/documents/subpartx-tsd-petrochem.pdf</x:v>
      </x:c>
    </x:row>
    <x:row r="5" ht="21.75" customHeight="1">
      <x:c r="A5" s="13" t="str">
        <x:v>4</x:v>
      </x:c>
      <x:c r="B5" s="13" t="str">
        <x:v>1</x:v>
      </x:c>
      <x:c r="C5" s="13" t="str">
        <x:v>propane</x:v>
      </x:c>
      <x:c r="D5" s="13" t="str">
        <x:v>Propane</x:v>
      </x:c>
      <x:c r="E5" s="13" t="str">
        <x:v>Alternate feed / unconverted co-feed</x:v>
      </x:c>
      <x:c r="F5" s="13" t="str">
        <x:v>core</x:v>
      </x:c>
      <x:c r="G5" s="13" t="str">
        <x:v>Secondary feed marker</x:v>
      </x:c>
      <x:c r="H5" s="16" t="str">
        <x:v>471</x:v>
      </x:c>
      <x:c r="I5" s="16" t="str">
        <x:v>471</x:v>
      </x:c>
      <x:c r="J5" s="16" t="str">
        <x:v>471</x:v>
      </x:c>
      <x:c r="K5" s="16" t="str">
        <x:v>24.278350515463917</x:v>
      </x:c>
      <x:c r="L5" s="18" t="str">
        <x:v>0.000123108</x:v>
      </x:c>
      <x:c r="M5" s="18" t="str">
        <x:v>0.00130874</x:v>
      </x:c>
      <x:c r="N5" s="18" t="str">
        <x:v>0.005890355</x:v>
      </x:c>
      <x:c r="O5" s="18" t="str">
        <x:v>0.005767247</x:v>
      </x:c>
      <x:c r="P5" s="20" t="str">
        <x:v>0</x:v>
      </x:c>
      <x:c r="Q5" s="13" t="str">
        <x:v>mol kg^-1 Pa^-1</x:v>
      </x:c>
      <x:c r="R5" s="20" t="str">
        <x:v>300</x:v>
      </x:c>
      <x:c r="S5" s="13" t="str">
        <x:v>linear</x:v>
      </x:c>
      <x:c r="T5" s="13" t="str">
        <x:v>pandas linear interpolation; exact zeros retained</x:v>
      </x:c>
      <x:c r="U5" s="13" t="str">
        <x:v>https://zenodo.org/records/16754752</x:v>
      </x:c>
      <x:c r="V5" s="13" t="str">
        <x:v>https://www.epa.gov/sites/default/files/2015-03/documents/subpartx-tsd-petrochem.pdf</x:v>
      </x:c>
    </x:row>
    <x:row r="6" ht="21.75" customHeight="1">
      <x:c r="A6" s="13" t="str">
        <x:v>5</x:v>
      </x:c>
      <x:c r="B6" s="13" t="str">
        <x:v>1</x:v>
      </x:c>
      <x:c r="C6" s="13" t="str">
        <x:v>propene</x:v>
      </x:c>
      <x:c r="D6" s="13" t="str">
        <x:v>Propylene</x:v>
      </x:c>
      <x:c r="E6" s="13" t="str">
        <x:v>Co-product</x:v>
      </x:c>
      <x:c r="F6" s="13" t="str">
        <x:v>core</x:v>
      </x:c>
      <x:c r="G6" s="13" t="str">
        <x:v>Secondary cracked-product marker</x:v>
      </x:c>
      <x:c r="H6" s="16" t="str">
        <x:v>471</x:v>
      </x:c>
      <x:c r="I6" s="16" t="str">
        <x:v>471</x:v>
      </x:c>
      <x:c r="J6" s="16" t="str">
        <x:v>471</x:v>
      </x:c>
      <x:c r="K6" s="16" t="str">
        <x:v>24.278350515463917</x:v>
      </x:c>
      <x:c r="L6" s="18" t="str">
        <x:v>9.5e-05</x:v>
      </x:c>
      <x:c r="M6" s="18" t="str">
        <x:v>0.000938799</x:v>
      </x:c>
      <x:c r="N6" s="18" t="str">
        <x:v>0.00360771</x:v>
      </x:c>
      <x:c r="O6" s="18" t="str">
        <x:v>0.00351271</x:v>
      </x:c>
      <x:c r="P6" s="20" t="str">
        <x:v>0</x:v>
      </x:c>
      <x:c r="Q6" s="13" t="str">
        <x:v>mol kg^-1 Pa^-1</x:v>
      </x:c>
      <x:c r="R6" s="20" t="str">
        <x:v>300</x:v>
      </x:c>
      <x:c r="S6" s="13" t="str">
        <x:v>linear</x:v>
      </x:c>
      <x:c r="T6" s="13" t="str">
        <x:v>pandas linear interpolation; exact zeros retained</x:v>
      </x:c>
      <x:c r="U6" s="13" t="str">
        <x:v>https://zenodo.org/records/16754752</x:v>
      </x:c>
      <x:c r="V6" s="13" t="str">
        <x:v>https://www.epa.gov/sites/default/files/2015-03/documents/subpartx-tsd-petrochem.pdf</x:v>
      </x:c>
    </x:row>
    <x:row r="7" ht="21.75" customHeight="1">
      <x:c r="A7" s="13" t="str">
        <x:v>6</x:v>
      </x:c>
      <x:c r="B7" s="13" t="str">
        <x:v>1</x:v>
      </x:c>
      <x:c r="C7" s="13" t="str">
        <x:v>isobutane</x:v>
      </x:c>
      <x:c r="D7" s="13" t="str">
        <x:v>Isobutane</x:v>
      </x:c>
      <x:c r="E7" s="13" t="str">
        <x:v>C4 light-end proxy</x:v>
      </x:c>
      <x:c r="F7" s="13" t="str">
        <x:v>proxy</x:v>
      </x:c>
      <x:c r="G7" s="13" t="str">
        <x:v>Coverage-matched C4 process-gas proxy</x:v>
      </x:c>
      <x:c r="H7" s="16" t="str">
        <x:v>471</x:v>
      </x:c>
      <x:c r="I7" s="16" t="str">
        <x:v>471</x:v>
      </x:c>
      <x:c r="J7" s="16" t="str">
        <x:v>471</x:v>
      </x:c>
      <x:c r="K7" s="16" t="str">
        <x:v>24.278350515463917</x:v>
      </x:c>
      <x:c r="L7" s="18" t="str">
        <x:v>3.57e-05</x:v>
      </x:c>
      <x:c r="M7" s="18" t="str">
        <x:v>0.00377802</x:v>
      </x:c>
      <x:c r="N7" s="18" t="str">
        <x:v>0.028926300000000002</x:v>
      </x:c>
      <x:c r="O7" s="18" t="str">
        <x:v>0.028890600000000002</x:v>
      </x:c>
      <x:c r="P7" s="20" t="str">
        <x:v>6</x:v>
      </x:c>
      <x:c r="Q7" s="13" t="str">
        <x:v>mol kg^-1 Pa^-1</x:v>
      </x:c>
      <x:c r="R7" s="20" t="str">
        <x:v>300</x:v>
      </x:c>
      <x:c r="S7" s="13" t="str">
        <x:v>linear</x:v>
      </x:c>
      <x:c r="T7" s="13" t="str">
        <x:v>pandas linear interpolation; exact zeros retained</x:v>
      </x:c>
      <x:c r="U7" s="13" t="str">
        <x:v>https://zenodo.org/records/16754752</x:v>
      </x:c>
      <x:c r="V7" s="13" t="str">
        <x:v>https://www.epa.gov/sites/default/files/2015-03/documents/subpartx-tsd-petrochem.pdf</x:v>
      </x:c>
    </x:row>
    <x:row r="8" ht="21.75" customHeight="1">
      <x:c r="A8" s="13" t="str">
        <x:v>7</x:v>
      </x:c>
      <x:c r="B8" s="13" t="str">
        <x:v>1</x:v>
      </x:c>
      <x:c r="C8" s="13" t="str">
        <x:v>isopentane</x:v>
      </x:c>
      <x:c r="D8" s="13" t="str">
        <x:v>Isopentane</x:v>
      </x:c>
      <x:c r="E8" s="13" t="str">
        <x:v>C5 / heavier-feed proxy</x:v>
      </x:c>
      <x:c r="F8" s="13" t="str">
        <x:v>proxy</x:v>
      </x:c>
      <x:c r="G8" s="13" t="str">
        <x:v>Coverage-matched C5 paraffin proxy</x:v>
      </x:c>
      <x:c r="H8" s="16" t="str">
        <x:v>471</x:v>
      </x:c>
      <x:c r="I8" s="16" t="str">
        <x:v>471</x:v>
      </x:c>
      <x:c r="J8" s="16" t="str">
        <x:v>471</x:v>
      </x:c>
      <x:c r="K8" s="16" t="str">
        <x:v>24.278350515463917</x:v>
      </x:c>
      <x:c r="L8" s="18" t="str">
        <x:v>1.5799999999999998e-05</x:v>
      </x:c>
      <x:c r="M8" s="18" t="str">
        <x:v>0.017162</x:v>
      </x:c>
      <x:c r="N8" s="18" t="str">
        <x:v>0.274342</x:v>
      </x:c>
      <x:c r="O8" s="18" t="str">
        <x:v>0.27432619999999996</x:v>
      </x:c>
      <x:c r="P8" s="20" t="str">
        <x:v>10</x:v>
      </x:c>
      <x:c r="Q8" s="13" t="str">
        <x:v>mol kg^-1 Pa^-1</x:v>
      </x:c>
      <x:c r="R8" s="20" t="str">
        <x:v>300</x:v>
      </x:c>
      <x:c r="S8" s="13" t="str">
        <x:v>linear</x:v>
      </x:c>
      <x:c r="T8" s="13" t="str">
        <x:v>pandas linear interpolation; exact zeros retained</x:v>
      </x:c>
      <x:c r="U8" s="13" t="str">
        <x:v>https://zenodo.org/records/16754752</x:v>
      </x:c>
      <x:c r="V8" s="13" t="str">
        <x:v>https://www.epa.gov/sites/default/files/2015-03/documents/subpartx-tsd-petrochem.pdf</x:v>
      </x:c>
    </x:row>
    <x:row r="9" ht="21.75" customHeight="1">
      <x:c r="A9" s="13" t="str">
        <x:v>8</x:v>
      </x:c>
      <x:c r="B9" s="13" t="str">
        <x:v>1</x:v>
      </x:c>
      <x:c r="C9" s="13" t="str">
        <x:v>2-pentene</x:v>
      </x:c>
      <x:c r="D9" s="13" t="str">
        <x:v>2-Pentene</x:v>
      </x:c>
      <x:c r="E9" s="13" t="str">
        <x:v>C5 olefin / cracked-product proxy</x:v>
      </x:c>
      <x:c r="F9" s="13" t="str">
        <x:v>proxy</x:v>
      </x:c>
      <x:c r="G9" s="13" t="str">
        <x:v>Coverage-matched C5 olefin proxy</x:v>
      </x:c>
      <x:c r="H9" s="16" t="str">
        <x:v>471</x:v>
      </x:c>
      <x:c r="I9" s="16" t="str">
        <x:v>471</x:v>
      </x:c>
      <x:c r="J9" s="16" t="str">
        <x:v>471</x:v>
      </x:c>
      <x:c r="K9" s="16" t="str">
        <x:v>24.278350515463917</x:v>
      </x:c>
      <x:c r="L9" s="18" t="str">
        <x:v>0.000449047</x:v>
      </x:c>
      <x:c r="M9" s="18" t="str">
        <x:v>0.0405541</x:v>
      </x:c>
      <x:c r="N9" s="18" t="str">
        <x:v>0.4371085</x:v>
      </x:c>
      <x:c r="O9" s="18" t="str">
        <x:v>0.43665945300000003</x:v>
      </x:c>
      <x:c r="P9" s="20" t="str">
        <x:v>1</x:v>
      </x:c>
      <x:c r="Q9" s="13" t="str">
        <x:v>mol kg^-1 Pa^-1</x:v>
      </x:c>
      <x:c r="R9" s="20" t="str">
        <x:v>300</x:v>
      </x:c>
      <x:c r="S9" s="13" t="str">
        <x:v>linear</x:v>
      </x:c>
      <x:c r="T9" s="13" t="str">
        <x:v>pandas linear interpolation; exact zeros retained</x:v>
      </x:c>
      <x:c r="U9" s="13" t="str">
        <x:v>https://zenodo.org/records/16754752</x:v>
      </x:c>
      <x:c r="V9" s="13" t="str">
        <x:v>https://www.epa.gov/sites/default/files/2015-03/documents/subpartx-tsd-petrochem.pdf</x:v>
      </x:c>
    </x:row>
  </x:sheetData>
  <x:pageMargins left="0.7" right="0.7" top="0.75" bottom="0.75" header="0.3" footer="0.3"/>
  <x:tableParts count="1">
    <x:tablePart xmlns:r="http://schemas.openxmlformats.org/officeDocument/2006/relationships" r:id="Rfd2f3488629546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5" hidden="0" customWidth="1"/>
    <x:col min="3" max="3" width="9.109999656677246" hidden="0" customWidth="1"/>
    <x:col min="4" max="4" width="11.670000076293945" hidden="0" customWidth="1"/>
    <x:col min="5" max="5" width="11.109999656677246" hidden="0" customWidth="1"/>
    <x:col min="6" max="6" width="11.109999656677246" hidden="0" customWidth="1"/>
    <x:col min="7" max="7" width="2.440000057220459" hidden="0" customWidth="1"/>
    <x:col min="8" max="8" width="10" hidden="0" customWidth="1"/>
    <x:col min="9" max="9" width="10" hidden="0" customWidth="1"/>
    <x:col min="10" max="10" width="2.2200000286102295" hidden="0" customWidth="1"/>
    <x:col min="11" max="11" width="10.329999923706055" hidden="0" customWidth="1"/>
    <x:col min="12" max="12" width="10.329999923706055" hidden="0" customWidth="1"/>
    <x:col min="13" max="13" width="10.329999923706055" hidden="0" customWidth="1"/>
    <x:col min="14" max="14" width="10.329999923706055" hidden="0" customWidth="1"/>
    <x:col min="15" max="15" width="10.329999923706055" hidden="0" customWidth="1"/>
  </x:cols>
  <x:sheetData>
    <x:row r="1" ht="22.5" customHeight="1">
      <x:c r="A1" s="32" t="str">
        <x:v>Eight process gases share a complete 471-MOF comparison set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</x:row>
    <x:row r="2" ht="22.5" customHeight="1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</x:row>
    <x:row r="3" ht="18" customHeight="1">
      <x:c r="A3" s="38" t="str">
        <x:v>MONDAY UPDATE · ETHYLENE-CRACKER OUTLET · COMPUTED PAIRS ONLY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</x:row>
    <x:row r="5" ht="15" customHeight="1">
      <x:c r="A5" s="46" t="str">
        <x:v>TARGET GASES</x:v>
      </x:c>
      <x:c r="B5" s="46" t="str">
        <x:v>TARGET GASES</x:v>
      </x:c>
      <x:c r="C5" s="46" t="str">
        <x:v>TARGET GASES</x:v>
      </x:c>
      <x:c r="D5" s="46" t="str">
        <x:v>COMPUTED PAIRS</x:v>
      </x:c>
      <x:c r="E5" s="46" t="str">
        <x:v>COMPUTED PAIRS</x:v>
      </x:c>
      <x:c r="F5" s="46" t="str">
        <x:v>COMPUTED PAIRS</x:v>
      </x:c>
      <x:c r="G5" s="46" t="str">
        <x:v>COMMON MOFS</x:v>
      </x:c>
      <x:c r="H5" s="46" t="str">
        <x:v>COMMON MOFS</x:v>
      </x:c>
      <x:c r="I5" s="46" t="str">
        <x:v>COMMON MOFS</x:v>
      </x:c>
      <x:c r="J5" s="118" t="str">
        <x:v>FULL DATASET</x:v>
      </x:c>
      <x:c r="K5" s="118" t="str">
        <x:v>FULL DATASET</x:v>
      </x:c>
      <x:c r="L5" s="118" t="str">
        <x:v>FULL DATASET</x:v>
      </x:c>
      <x:c r="M5" s="118" t="str">
        <x:v>FULL DATASET</x:v>
      </x:c>
      <x:c r="N5" s="118" t="str">
        <x:v>FULL DATASET</x:v>
      </x:c>
      <x:c r="O5" s="118" t="str">
        <x:v>FULL DATASET</x:v>
      </x:c>
    </x:row>
    <x:row r="6" ht="21" customHeight="1">
      <x:c r="A6" s="88" t="n">
        <x:f>ROWS('Coverage Data'!A2:A9)</x:f>
        <x:v>8</x:v>
      </x:c>
      <x:c r="B6" s="89"/>
      <x:c r="C6" s="90"/>
      <x:c r="D6" s="100" t="n">
        <x:f>ROWS('Coverage Data'!A2:A9)*MIN('Coverage Data'!J2:J9)</x:f>
        <x:v>3768</x:v>
      </x:c>
      <x:c r="E6" s="101"/>
      <x:c r="F6" s="102"/>
      <x:c r="G6" s="100" t="n">
        <x:f>MIN('Coverage Data'!J2:J9)</x:f>
        <x:v>471</x:v>
      </x:c>
      <x:c r="H6" s="101"/>
      <x:c r="I6" s="102"/>
      <x:c r="J6" s="158" t="str">
        <x:v>16,628 pairs · 1,940 MOFs · 113 molecules</x:v>
      </x:c>
      <x:c r="K6" s="159"/>
      <x:c r="L6" s="159"/>
      <x:c r="M6" s="159"/>
      <x:c r="N6" s="159"/>
      <x:c r="O6" s="160"/>
    </x:row>
    <x:row r="7" ht="21" customHeight="1">
      <x:c r="A7" s="91"/>
      <x:c r="B7" s="92"/>
      <x:c r="C7" s="93"/>
      <x:c r="D7" s="103"/>
      <x:c r="E7" s="104"/>
      <x:c r="F7" s="105"/>
      <x:c r="G7" s="103"/>
      <x:c r="H7" s="104"/>
      <x:c r="I7" s="105"/>
      <x:c r="J7" s="161"/>
      <x:c r="K7" s="162"/>
      <x:c r="L7" s="162"/>
      <x:c r="M7" s="162"/>
      <x:c r="N7" s="162"/>
      <x:c r="O7" s="163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</x:row>
    <x:row r="9" ht="25.5" customHeight="1">
      <x:c r="A9" s="182" t="str">
        <x:v>Gas</x:v>
      </x:c>
      <x:c r="B9" s="182" t="str">
        <x:v>Process role</x:v>
      </x:c>
      <x:c r="C9" s="182" t="str">
        <x:v>Group</x:v>
      </x:c>
      <x:c r="D9" s="182" t="str">
        <x:v>Computed MOFs</x:v>
      </x:c>
      <x:c r="E9" s="182" t="str">
        <x:v>Median K</x:v>
      </x:c>
      <x:c r="F9" s="182" t="str">
        <x:v>IQR</x:v>
      </x:c>
      <x:c r="G9" s="24"/>
      <x:c r="H9" s="24"/>
      <x:c r="I9" s="24"/>
      <x:c r="J9" s="24"/>
      <x:c r="K9" s="24"/>
      <x:c r="L9" s="24"/>
      <x:c r="M9" s="24"/>
      <x:c r="N9" s="24"/>
      <x:c r="O9" s="24"/>
      <x:c r="P9" s="196" t="str">
        <x:v>Gas</x:v>
      </x:c>
      <x:c r="Q9" s="196" t="str">
        <x:v>Computed MOFs</x:v>
      </x:c>
    </x:row>
    <x:row r="10" ht="23.25" customHeight="1">
      <x:c r="A10" s="184" t="str">
        <x:f>'Coverage Data'!D2</x:f>
        <x:v>Methane</x:v>
      </x:c>
      <x:c r="B10" s="174" t="str">
        <x:f>'Coverage Data'!E2</x:f>
        <x:v>Cracking by-product / fuel gas</x:v>
      </x:c>
      <x:c r="C10" s="174" t="str">
        <x:f>'Coverage Data'!F2</x:f>
        <x:v>core</x:v>
      </x:c>
      <x:c r="D10" s="186" t="str">
        <x:f>'Coverage Data'!I2</x:f>
        <x:v>471</x:v>
      </x:c>
      <x:c r="E10" s="188" t="str">
        <x:f>'Coverage Data'!M2</x:f>
        <x:v>1.08e-05</x:v>
      </x:c>
      <x:c r="F10" s="188" t="str">
        <x:f>'Coverage Data'!O2</x:f>
        <x:v>1.497e-05</x:v>
      </x:c>
      <x:c r="G10" s="24"/>
      <x:c r="H10" s="24"/>
      <x:c r="I10" s="24"/>
      <x:c r="J10" s="24"/>
      <x:c r="K10" s="24"/>
      <x:c r="L10" s="24"/>
      <x:c r="M10" s="24"/>
      <x:c r="N10" s="24"/>
      <x:c r="O10" s="24"/>
      <x:c r="P10" s="194" t="str">
        <x:f>'Coverage Data'!D2</x:f>
        <x:v>Methane</x:v>
      </x:c>
      <x:c r="Q10" s="194" t="str">
        <x:f>'Coverage Data'!I2</x:f>
        <x:v>471</x:v>
      </x:c>
    </x:row>
    <x:row r="11" ht="23.25" customHeight="1">
      <x:c r="A11" s="184" t="str">
        <x:f>'Coverage Data'!D3</x:f>
        <x:v>Ethane</x:v>
      </x:c>
      <x:c r="B11" s="174" t="str">
        <x:f>'Coverage Data'!E3</x:f>
        <x:v>Primary feed / unconverted feed</x:v>
      </x:c>
      <x:c r="C11" s="174" t="str">
        <x:f>'Coverage Data'!F3</x:f>
        <x:v>core</x:v>
      </x:c>
      <x:c r="D11" s="186" t="str">
        <x:f>'Coverage Data'!I3</x:f>
        <x:v>471</x:v>
      </x:c>
      <x:c r="E11" s="188" t="str">
        <x:f>'Coverage Data'!M3</x:f>
        <x:v>0.000163051</x:v>
      </x:c>
      <x:c r="F11" s="188" t="str">
        <x:f>'Coverage Data'!O3</x:f>
        <x:v>0.000472572</x:v>
      </x:c>
      <x:c r="G11" s="24"/>
      <x:c r="H11" s="24"/>
      <x:c r="I11" s="24"/>
      <x:c r="J11" s="24"/>
      <x:c r="K11" s="24"/>
      <x:c r="L11" s="24"/>
      <x:c r="M11" s="24"/>
      <x:c r="N11" s="24"/>
      <x:c r="O11" s="24"/>
      <x:c r="P11" s="194" t="str">
        <x:f>'Coverage Data'!D3</x:f>
        <x:v>Ethane</x:v>
      </x:c>
      <x:c r="Q11" s="194" t="str">
        <x:f>'Coverage Data'!I3</x:f>
        <x:v>471</x:v>
      </x:c>
    </x:row>
    <x:row r="12" ht="23.25" customHeight="1">
      <x:c r="A12" s="184" t="str">
        <x:f>'Coverage Data'!D4</x:f>
        <x:v>Ethylene</x:v>
      </x:c>
      <x:c r="B12" s="174" t="str">
        <x:f>'Coverage Data'!E4</x:f>
        <x:v>Primary product</x:v>
      </x:c>
      <x:c r="C12" s="174" t="str">
        <x:f>'Coverage Data'!F4</x:f>
        <x:v>core</x:v>
      </x:c>
      <x:c r="D12" s="186" t="str">
        <x:f>'Coverage Data'!I4</x:f>
        <x:v>471</x:v>
      </x:c>
      <x:c r="E12" s="188" t="str">
        <x:f>'Coverage Data'!M4</x:f>
        <x:v>7.98e-05</x:v>
      </x:c>
      <x:c r="F12" s="188" t="str">
        <x:f>'Coverage Data'!O4</x:f>
        <x:v>0.000197009</x:v>
      </x:c>
      <x:c r="G12" s="24"/>
      <x:c r="H12" s="24"/>
      <x:c r="I12" s="24"/>
      <x:c r="J12" s="24"/>
      <x:c r="K12" s="24"/>
      <x:c r="L12" s="24"/>
      <x:c r="M12" s="24"/>
      <x:c r="N12" s="24"/>
      <x:c r="O12" s="24"/>
      <x:c r="P12" s="194" t="str">
        <x:f>'Coverage Data'!D4</x:f>
        <x:v>Ethylene</x:v>
      </x:c>
      <x:c r="Q12" s="194" t="str">
        <x:f>'Coverage Data'!I4</x:f>
        <x:v>471</x:v>
      </x:c>
    </x:row>
    <x:row r="13" ht="23.25" customHeight="1">
      <x:c r="A13" s="184" t="str">
        <x:f>'Coverage Data'!D5</x:f>
        <x:v>Propane</x:v>
      </x:c>
      <x:c r="B13" s="174" t="str">
        <x:f>'Coverage Data'!E5</x:f>
        <x:v>Alternate feed / unconverted co-feed</x:v>
      </x:c>
      <x:c r="C13" s="174" t="str">
        <x:f>'Coverage Data'!F5</x:f>
        <x:v>core</x:v>
      </x:c>
      <x:c r="D13" s="186" t="str">
        <x:f>'Coverage Data'!I5</x:f>
        <x:v>471</x:v>
      </x:c>
      <x:c r="E13" s="188" t="str">
        <x:f>'Coverage Data'!M5</x:f>
        <x:v>0.00130874</x:v>
      </x:c>
      <x:c r="F13" s="188" t="str">
        <x:f>'Coverage Data'!O5</x:f>
        <x:v>0.005767247</x:v>
      </x:c>
      <x:c r="G13" s="24"/>
      <x:c r="H13" s="24"/>
      <x:c r="I13" s="24"/>
      <x:c r="J13" s="24"/>
      <x:c r="K13" s="24"/>
      <x:c r="L13" s="24"/>
      <x:c r="M13" s="24"/>
      <x:c r="N13" s="24"/>
      <x:c r="O13" s="24"/>
      <x:c r="P13" s="194" t="str">
        <x:f>'Coverage Data'!D5</x:f>
        <x:v>Propane</x:v>
      </x:c>
      <x:c r="Q13" s="194" t="str">
        <x:f>'Coverage Data'!I5</x:f>
        <x:v>471</x:v>
      </x:c>
    </x:row>
    <x:row r="14" ht="23.25" customHeight="1">
      <x:c r="A14" s="184" t="str">
        <x:f>'Coverage Data'!D6</x:f>
        <x:v>Propylene</x:v>
      </x:c>
      <x:c r="B14" s="174" t="str">
        <x:f>'Coverage Data'!E6</x:f>
        <x:v>Co-product</x:v>
      </x:c>
      <x:c r="C14" s="174" t="str">
        <x:f>'Coverage Data'!F6</x:f>
        <x:v>core</x:v>
      </x:c>
      <x:c r="D14" s="186" t="str">
        <x:f>'Coverage Data'!I6</x:f>
        <x:v>471</x:v>
      </x:c>
      <x:c r="E14" s="188" t="str">
        <x:f>'Coverage Data'!M6</x:f>
        <x:v>0.000938799</x:v>
      </x:c>
      <x:c r="F14" s="188" t="str">
        <x:f>'Coverage Data'!O6</x:f>
        <x:v>0.00351271</x:v>
      </x:c>
      <x:c r="G14" s="24"/>
      <x:c r="H14" s="24"/>
      <x:c r="I14" s="24"/>
      <x:c r="J14" s="24"/>
      <x:c r="K14" s="24"/>
      <x:c r="L14" s="24"/>
      <x:c r="M14" s="24"/>
      <x:c r="N14" s="24"/>
      <x:c r="O14" s="24"/>
      <x:c r="P14" s="194" t="str">
        <x:f>'Coverage Data'!D6</x:f>
        <x:v>Propylene</x:v>
      </x:c>
      <x:c r="Q14" s="194" t="str">
        <x:f>'Coverage Data'!I6</x:f>
        <x:v>471</x:v>
      </x:c>
    </x:row>
    <x:row r="15" ht="23.25" customHeight="1">
      <x:c r="A15" s="184" t="str">
        <x:f>'Coverage Data'!D7</x:f>
        <x:v>Isobutane</x:v>
      </x:c>
      <x:c r="B15" s="174" t="str">
        <x:f>'Coverage Data'!E7</x:f>
        <x:v>C4 light-end proxy</x:v>
      </x:c>
      <x:c r="C15" s="174" t="str">
        <x:f>'Coverage Data'!F7</x:f>
        <x:v>proxy</x:v>
      </x:c>
      <x:c r="D15" s="186" t="str">
        <x:f>'Coverage Data'!I7</x:f>
        <x:v>471</x:v>
      </x:c>
      <x:c r="E15" s="188" t="str">
        <x:f>'Coverage Data'!M7</x:f>
        <x:v>0.00377802</x:v>
      </x:c>
      <x:c r="F15" s="188" t="str">
        <x:f>'Coverage Data'!O7</x:f>
        <x:v>0.028890600000000002</x:v>
      </x:c>
      <x:c r="G15" s="24"/>
      <x:c r="H15" s="24"/>
      <x:c r="I15" s="24"/>
      <x:c r="J15" s="24"/>
      <x:c r="K15" s="24"/>
      <x:c r="L15" s="24"/>
      <x:c r="M15" s="24"/>
      <x:c r="N15" s="24"/>
      <x:c r="O15" s="24"/>
      <x:c r="P15" s="194" t="str">
        <x:f>'Coverage Data'!D7</x:f>
        <x:v>Isobutane</x:v>
      </x:c>
      <x:c r="Q15" s="194" t="str">
        <x:f>'Coverage Data'!I7</x:f>
        <x:v>471</x:v>
      </x:c>
    </x:row>
    <x:row r="16" ht="23.25" customHeight="1">
      <x:c r="A16" s="184" t="str">
        <x:f>'Coverage Data'!D8</x:f>
        <x:v>Isopentane</x:v>
      </x:c>
      <x:c r="B16" s="174" t="str">
        <x:f>'Coverage Data'!E8</x:f>
        <x:v>C5 / heavier-feed proxy</x:v>
      </x:c>
      <x:c r="C16" s="174" t="str">
        <x:f>'Coverage Data'!F8</x:f>
        <x:v>proxy</x:v>
      </x:c>
      <x:c r="D16" s="186" t="str">
        <x:f>'Coverage Data'!I8</x:f>
        <x:v>471</x:v>
      </x:c>
      <x:c r="E16" s="188" t="str">
        <x:f>'Coverage Data'!M8</x:f>
        <x:v>0.017162</x:v>
      </x:c>
      <x:c r="F16" s="188" t="str">
        <x:f>'Coverage Data'!O8</x:f>
        <x:v>0.27432619999999996</x:v>
      </x:c>
      <x:c r="G16" s="24"/>
      <x:c r="H16" s="24"/>
      <x:c r="I16" s="24"/>
      <x:c r="J16" s="24"/>
      <x:c r="K16" s="24"/>
      <x:c r="L16" s="24"/>
      <x:c r="M16" s="24"/>
      <x:c r="N16" s="24"/>
      <x:c r="O16" s="24"/>
      <x:c r="P16" s="194" t="str">
        <x:f>'Coverage Data'!D8</x:f>
        <x:v>Isopentane</x:v>
      </x:c>
      <x:c r="Q16" s="194" t="str">
        <x:f>'Coverage Data'!I8</x:f>
        <x:v>471</x:v>
      </x:c>
    </x:row>
    <x:row r="17" ht="23.25" customHeight="1">
      <x:c r="A17" s="184" t="str">
        <x:f>'Coverage Data'!D9</x:f>
        <x:v>2-Pentene</x:v>
      </x:c>
      <x:c r="B17" s="174" t="str">
        <x:f>'Coverage Data'!E9</x:f>
        <x:v>C5 olefin / cracked-product proxy</x:v>
      </x:c>
      <x:c r="C17" s="174" t="str">
        <x:f>'Coverage Data'!F9</x:f>
        <x:v>proxy</x:v>
      </x:c>
      <x:c r="D17" s="186" t="str">
        <x:f>'Coverage Data'!I9</x:f>
        <x:v>471</x:v>
      </x:c>
      <x:c r="E17" s="188" t="str">
        <x:f>'Coverage Data'!M9</x:f>
        <x:v>0.0405541</x:v>
      </x:c>
      <x:c r="F17" s="188" t="str">
        <x:f>'Coverage Data'!O9</x:f>
        <x:v>0.43665945300000003</x:v>
      </x:c>
      <x:c r="G17" s="24"/>
      <x:c r="H17" s="24"/>
      <x:c r="I17" s="24"/>
      <x:c r="J17" s="24"/>
      <x:c r="K17" s="24"/>
      <x:c r="L17" s="24"/>
      <x:c r="M17" s="24"/>
      <x:c r="N17" s="24"/>
      <x:c r="O17" s="24"/>
      <x:c r="P17" s="194" t="str">
        <x:f>'Coverage Data'!D9</x:f>
        <x:v>2-Pentene</x:v>
      </x:c>
      <x:c r="Q17" s="194" t="str">
        <x:f>'Coverage Data'!I9</x:f>
        <x:v>471</x:v>
      </x:c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</x:row>
    <x:row r="19" ht="25.5" customHeight="1">
      <x:c r="A19" s="204" t="str">
        <x:v>NEXT: SELECT 12 MOFS → TEST IDENTIFICATION, DRIFT &amp; RATIOS → PRUNE</x:v>
      </x:c>
      <x:c r="B19" s="204"/>
      <x:c r="C19" s="204"/>
      <x:c r="D19" s="204"/>
      <x:c r="E19" s="204"/>
      <x:c r="F19" s="204"/>
      <x:c r="G19" s="204"/>
      <x:c r="H19" s="204"/>
      <x:c r="I19" s="204"/>
      <x:c r="J19" s="204"/>
      <x:c r="K19" s="204"/>
      <x:c r="L19" s="204"/>
      <x:c r="M19" s="204"/>
      <x:c r="N19" s="204"/>
      <x:c r="O19" s="20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</x:row>
    <x:row r="21" ht="19.5" customHeight="1">
      <x:c r="A21" s="232" t="str">
        <x:v>Interpretation: conditioned extractive post-quench outlet sample near 300 K—not direct exposure to the raw furnace effluent. C4/C5 species are coverage-matched process-gas proxies.</x:v>
      </x:c>
      <x:c r="B21" s="233"/>
      <x:c r="C21" s="233"/>
      <x:c r="D21" s="233"/>
      <x:c r="E21" s="233"/>
      <x:c r="F21" s="233"/>
      <x:c r="G21" s="233"/>
      <x:c r="H21" s="233"/>
      <x:c r="I21" s="233"/>
      <x:c r="J21" s="233"/>
      <x:c r="K21" s="233"/>
      <x:c r="L21" s="233"/>
      <x:c r="M21" s="233"/>
      <x:c r="N21" s="233"/>
      <x:c r="O21" s="234"/>
    </x:row>
    <x:row r="22" ht="19.5" customHeight="1">
      <x:c r="A22" s="235"/>
      <x:c r="B22" s="236"/>
      <x:c r="C22" s="236"/>
      <x:c r="D22" s="236"/>
      <x:c r="E22" s="236"/>
      <x:c r="F22" s="236"/>
      <x:c r="G22" s="236"/>
      <x:c r="H22" s="236"/>
      <x:c r="I22" s="236"/>
      <x:c r="J22" s="236"/>
      <x:c r="K22" s="236"/>
      <x:c r="L22" s="236"/>
      <x:c r="M22" s="236"/>
      <x:c r="N22" s="236"/>
      <x:c r="O22" s="237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</x:row>
    <x:row r="24" ht="17.25" customHeight="1">
      <x:c r="A24" s="250" t="str">
        <x:v>Sources: D-MOPH-25 Zenodo record 16754752; Choi, Sholl &amp; Medford (2025), DOI 10.1088/2632-2153/ae0241. Values link to Coverage Data, which is generated from pandas operations on final.csv.</x:v>
      </x:c>
      <x:c r="B24" s="250"/>
      <x:c r="C24" s="250"/>
      <x:c r="D24" s="250"/>
      <x:c r="E24" s="250"/>
      <x:c r="F24" s="250"/>
      <x:c r="G24" s="250"/>
      <x:c r="H24" s="250"/>
      <x:c r="I24" s="250"/>
      <x:c r="J24" s="250"/>
      <x:c r="K24" s="250"/>
      <x:c r="L24" s="250"/>
      <x:c r="M24" s="250"/>
      <x:c r="N24" s="250"/>
      <x:c r="O24" s="250"/>
    </x:row>
    <x:row r="25" ht="17.25" customHeight="1">
      <x:c r="A25" s="250"/>
      <x:c r="B25" s="250"/>
      <x:c r="C25" s="250"/>
      <x:c r="D25" s="250"/>
      <x:c r="E25" s="250"/>
      <x:c r="F25" s="250"/>
      <x:c r="G25" s="250"/>
      <x:c r="H25" s="250"/>
      <x:c r="I25" s="250"/>
      <x:c r="J25" s="250"/>
      <x:c r="K25" s="250"/>
      <x:c r="L25" s="250"/>
      <x:c r="M25" s="250"/>
      <x:c r="N25" s="250"/>
      <x:c r="O25" s="250"/>
    </x:row>
    <x:row r="26" ht="17.25" customHeight="1">
      <x:c r="A26" s="250"/>
      <x:c r="B26" s="250"/>
      <x:c r="C26" s="250"/>
      <x:c r="D26" s="250"/>
      <x:c r="E26" s="250"/>
      <x:c r="F26" s="250"/>
      <x:c r="G26" s="250"/>
      <x:c r="H26" s="250"/>
      <x:c r="I26" s="250"/>
      <x:c r="J26" s="250"/>
      <x:c r="K26" s="250"/>
      <x:c r="L26" s="250"/>
      <x:c r="M26" s="250"/>
      <x:c r="N26" s="250"/>
      <x:c r="O26" s="250"/>
    </x:row>
  </x:sheetData>
  <x:mergeCells>
    <x:mergeCell ref="A1:O2"/>
    <x:mergeCell ref="A3:O3"/>
    <x:mergeCell ref="A5:C5"/>
    <x:mergeCell ref="A6:C7"/>
    <x:mergeCell ref="D5:F5"/>
    <x:mergeCell ref="D6:F7"/>
    <x:mergeCell ref="G5:I5"/>
    <x:mergeCell ref="G6:I7"/>
    <x:mergeCell ref="J5:O5"/>
    <x:mergeCell ref="J6:O7"/>
    <x:mergeCell ref="A19:O19"/>
    <x:mergeCell ref="A21:O22"/>
    <x:mergeCell ref="A24:O26"/>
  </x:mergeCells>
  <x:pageMargins left="0.7" right="0.7" top="0.75" bottom="0.75" header="0.3" footer="0.3"/>
  <x:drawing xmlns:r="http://schemas.openxmlformats.org/officeDocument/2006/relationships" r:id="Re413487bcd0d46d0"/>
  <x:tableParts count="1">
    <x:tablePart xmlns:r="http://schemas.openxmlformats.org/officeDocument/2006/relationships" r:id="Rfaab76eb7f75447a"/>
  </x:tableParts>
</x:worksheet>
</file>